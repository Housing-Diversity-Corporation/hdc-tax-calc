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lculations" sheetId="2" state="visible" r:id="rId2"/>
    <sheet name="Cash_Flows" sheetId="3" state="visible" r:id="rId3"/>
    <sheet name="Investor_Analysis" sheetId="4" state="visible" r:id="rId4"/>
    <sheet name="HDC_Analysis" sheetId="5" state="visible" r:id="rId5"/>
    <sheet name="Results" sheetId="6" state="visible" r:id="rId6"/>
    <sheet name="Scenarios" sheetId="7" state="visible" r:id="rId7"/>
  </sheets>
  <definedNames>
    <definedName name="Project_Cost">Inputs!C4</definedName>
    <definedName name="Depreciable_Pct">Inputs!C5</definedName>
    <definedName name="Hold_Period">Inputs!C6</definedName>
    <definedName name="Exit_Cap">Inputs!C7</definedName>
    <definedName name="Senior_LTV">Inputs!C10</definedName>
    <definedName name="Senior_Rate">Inputs!C11</definedName>
    <definedName name="HDC_DF_Auto">Inputs!C12</definedName>
    <definedName name="HDC_DF_Manual_Pct">Inputs!C13</definedName>
    <definedName name="HDC_DF_Rate">Inputs!C14</definedName>
    <definedName name="Phil_Debt_Pct">Inputs!C15</definedName>
    <definedName name="Phil_Rate">Inputs!C16</definedName>
    <definedName name="Year1_Revenue">Inputs!C19</definedName>
    <definedName name="Year1_Expenses">Inputs!C20</definedName>
    <definedName name="Revenue_Growth">Inputs!C21</definedName>
    <definedName name="Expense_Growth">Inputs!C22</definedName>
    <definedName name="OZ_Enabled">Inputs!C25</definedName>
    <definedName name="Original_Gain">Inputs!C26</definedName>
    <definedName name="Tax_Rate">Inputs!C27</definedName>
    <definedName name="State_Tax">Inputs!C28</definedName>
    <definedName name="Cost_Seg">Inputs!C29</definedName>
    <definedName name="HDC_Fee_Rate">Inputs!C32</definedName>
    <definedName name="AUM_Enabled">Inputs!C33</definedName>
    <definedName name="AUM_Rate">Inputs!C34</definedName>
    <definedName name="HDC_Promote">Inputs!C35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407F7F"/>
      <sz val="16"/>
    </font>
    <font>
      <b val="1"/>
      <color rgb="00407F7F"/>
      <sz val="11"/>
    </font>
    <font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E8F4F4"/>
        <bgColor rgb="00E8F4F4"/>
      </patternFill>
    </fill>
    <fill>
      <patternFill patternType="solid">
        <fgColor rgb="00FFFFCC"/>
        <bgColor rgb="00FFFFCC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64" fontId="0" fillId="4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164" fontId="0" fillId="0" borderId="1" pivotButton="0" quotePrefix="0" xfId="0"/>
    <xf numFmtId="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HDC CALCULATOR - INPUT PARAMETERS</t>
        </is>
      </c>
    </row>
    <row r="2"/>
    <row r="3">
      <c r="A3" s="2" t="inlineStr">
        <is>
          <t>PROJECT BASICS</t>
        </is>
      </c>
      <c r="E3" s="2" t="inlineStr">
        <is>
          <t>CALCULATED VALUES</t>
        </is>
      </c>
    </row>
    <row r="4">
      <c r="A4" s="3" t="inlineStr">
        <is>
          <t>Project Cost ($M)</t>
        </is>
      </c>
      <c r="C4" s="4" t="n">
        <v>100</v>
      </c>
      <c r="E4" t="inlineStr">
        <is>
          <t>HDC DF Amount ($M)</t>
        </is>
      </c>
      <c r="G4" s="5">
        <f>IF(C12="YES", C4*0.95-C4*C10/100-C4*C15/100, C4*C13/100)</f>
        <v/>
      </c>
    </row>
    <row r="5">
      <c r="A5" s="3" t="inlineStr">
        <is>
          <t>Depreciable Basis %</t>
        </is>
      </c>
      <c r="C5" s="4" t="n">
        <v>80</v>
      </c>
      <c r="E5" t="inlineStr">
        <is>
          <t>Total Debt %</t>
        </is>
      </c>
      <c r="G5" s="6">
        <f>C10+G4/C4*100+C15</f>
        <v/>
      </c>
    </row>
    <row r="6">
      <c r="A6" s="3" t="inlineStr">
        <is>
          <t>Hold Period (Years)</t>
        </is>
      </c>
      <c r="C6" s="4" t="n">
        <v>10</v>
      </c>
      <c r="E6" t="inlineStr">
        <is>
          <t>OZ Equity Investment ($M)</t>
        </is>
      </c>
      <c r="G6" s="7">
        <f>C4*(1-G5/100)</f>
        <v/>
      </c>
    </row>
    <row r="7">
      <c r="A7" s="3" t="inlineStr">
        <is>
          <t>Exit Cap Rate %</t>
        </is>
      </c>
      <c r="C7" s="4" t="n">
        <v>5</v>
      </c>
      <c r="E7" t="inlineStr">
        <is>
          <t>Blended Debt Rate %</t>
        </is>
      </c>
      <c r="G7" s="6">
        <f>(C10*C11+G4/C4*100*C14+C15*C16)/(C10+G4/C4*100+C15)</f>
        <v/>
      </c>
    </row>
    <row r="8"/>
    <row r="9">
      <c r="A9" s="2" t="inlineStr">
        <is>
          <t>CAPITAL STRUCTURE</t>
        </is>
      </c>
    </row>
    <row r="10">
      <c r="A10" s="3" t="inlineStr">
        <is>
          <t>Senior Debt LTV %</t>
        </is>
      </c>
      <c r="C10" s="4" t="n">
        <v>60</v>
      </c>
    </row>
    <row r="11">
      <c r="A11" s="3" t="inlineStr">
        <is>
          <t>Senior Debt Rate %</t>
        </is>
      </c>
      <c r="C11" s="4" t="n">
        <v>6</v>
      </c>
    </row>
    <row r="12">
      <c r="A12" s="3" t="inlineStr">
        <is>
          <t>HDC DF Auto Fill to 95%?</t>
        </is>
      </c>
      <c r="C12" s="4" t="inlineStr">
        <is>
          <t>YES</t>
        </is>
      </c>
    </row>
    <row r="13">
      <c r="A13" s="3" t="inlineStr">
        <is>
          <t>HDC DF Manual %</t>
        </is>
      </c>
      <c r="C13" s="4" t="n">
        <v>35</v>
      </c>
    </row>
    <row r="14">
      <c r="A14" s="3" t="inlineStr">
        <is>
          <t>HDC DF Rate %</t>
        </is>
      </c>
      <c r="C14" s="4" t="n">
        <v>12</v>
      </c>
    </row>
    <row r="15">
      <c r="A15" s="3" t="inlineStr">
        <is>
          <t>Philanthropic Debt %</t>
        </is>
      </c>
      <c r="C15" s="4" t="n">
        <v>0</v>
      </c>
    </row>
    <row r="16">
      <c r="A16" s="3" t="inlineStr">
        <is>
          <t>Philanthropic Rate %</t>
        </is>
      </c>
      <c r="C16" s="4" t="n">
        <v>4</v>
      </c>
    </row>
    <row r="17"/>
    <row r="18">
      <c r="A18" s="2" t="inlineStr">
        <is>
          <t>OPERATING ASSUMPTIONS</t>
        </is>
      </c>
    </row>
    <row r="19">
      <c r="A19" s="3" t="inlineStr">
        <is>
          <t>Year 1 Revenue ($M)</t>
        </is>
      </c>
      <c r="C19" s="4" t="n">
        <v>10</v>
      </c>
    </row>
    <row r="20">
      <c r="A20" s="3" t="inlineStr">
        <is>
          <t>Year 1 Expenses ($M)</t>
        </is>
      </c>
      <c r="C20" s="4" t="n">
        <v>3.5</v>
      </c>
    </row>
    <row r="21">
      <c r="A21" s="3" t="inlineStr">
        <is>
          <t>Revenue Growth %</t>
        </is>
      </c>
      <c r="C21" s="4" t="n">
        <v>3</v>
      </c>
    </row>
    <row r="22">
      <c r="A22" s="3" t="inlineStr">
        <is>
          <t>Expense Growth %</t>
        </is>
      </c>
      <c r="C22" s="4" t="n">
        <v>2.5</v>
      </c>
    </row>
    <row r="23"/>
    <row r="24">
      <c r="A24" s="2" t="inlineStr">
        <is>
          <t>TAX &amp; OZ PARAMETERS</t>
        </is>
      </c>
    </row>
    <row r="25">
      <c r="A25" s="3" t="inlineStr">
        <is>
          <t>OZ Investment Enabled</t>
        </is>
      </c>
      <c r="C25" s="4" t="inlineStr">
        <is>
          <t>YES</t>
        </is>
      </c>
    </row>
    <row r="26">
      <c r="A26" s="3" t="inlineStr">
        <is>
          <t>Original Capital Gain ($M)</t>
        </is>
      </c>
      <c r="C26" s="4" t="n">
        <v>20</v>
      </c>
    </row>
    <row r="27">
      <c r="A27" s="3" t="inlineStr">
        <is>
          <t>Investor Tax Rate %</t>
        </is>
      </c>
      <c r="C27" s="4" t="n">
        <v>37</v>
      </c>
    </row>
    <row r="28">
      <c r="A28" s="3" t="inlineStr">
        <is>
          <t>State Tax Rate %</t>
        </is>
      </c>
      <c r="C28" s="4" t="n">
        <v>9</v>
      </c>
    </row>
    <row r="29">
      <c r="A29" s="3" t="inlineStr">
        <is>
          <t>Cost Segregation</t>
        </is>
      </c>
      <c r="C29" s="4" t="inlineStr">
        <is>
          <t>YES</t>
        </is>
      </c>
    </row>
    <row r="30"/>
    <row r="31">
      <c r="A31" s="2" t="inlineStr">
        <is>
          <t>HDC FEES &amp; STRUCTURE</t>
        </is>
      </c>
    </row>
    <row r="32">
      <c r="A32" s="3" t="inlineStr">
        <is>
          <t>HDC Fee Rate (Year 1) %</t>
        </is>
      </c>
      <c r="C32" s="4" t="n">
        <v>3.5</v>
      </c>
    </row>
    <row r="33">
      <c r="A33" s="3" t="inlineStr">
        <is>
          <t>AUM Fee Enabled</t>
        </is>
      </c>
      <c r="C33" s="4" t="inlineStr">
        <is>
          <t>YES</t>
        </is>
      </c>
    </row>
    <row r="34">
      <c r="A34" s="3" t="inlineStr">
        <is>
          <t>AUM Fee Rate %</t>
        </is>
      </c>
      <c r="C34" s="4" t="n">
        <v>1.5</v>
      </c>
    </row>
    <row r="35">
      <c r="A35" s="3" t="inlineStr">
        <is>
          <t>HDC Promote Share %</t>
        </is>
      </c>
      <c r="C35" s="4" t="n">
        <v>65</v>
      </c>
    </row>
  </sheetData>
  <mergeCells count="7">
    <mergeCell ref="A31:C31"/>
    <mergeCell ref="A9:C9"/>
    <mergeCell ref="A18:C18"/>
    <mergeCell ref="A1:E1"/>
    <mergeCell ref="A3:C3"/>
    <mergeCell ref="E3:G3"/>
    <mergeCell ref="A24:C24"/>
  </mergeCells>
  <dataValidations count="4">
    <dataValidation sqref="C12" showDropDown="0" showInputMessage="0" showErrorMessage="0" allowBlank="0" type="list">
      <formula1>"YES,NO"</formula1>
    </dataValidation>
    <dataValidation sqref="C25" showDropDown="0" showInputMessage="0" showErrorMessage="0" allowBlank="0" type="list">
      <formula1>"YES,NO"</formula1>
    </dataValidation>
    <dataValidation sqref="C29" showDropDown="0" showInputMessage="0" showErrorMessage="0" allowBlank="0" type="list">
      <formula1>"YES,NO"</formula1>
    </dataValidation>
    <dataValidation sqref="C3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CASH FLOW PROJECTIONS</t>
        </is>
      </c>
    </row>
    <row r="2"/>
    <row r="3">
      <c r="A3" t="inlineStr">
        <is>
          <t>Year</t>
        </is>
      </c>
      <c r="B3" s="8" t="n">
        <v>1</v>
      </c>
      <c r="C3" s="8" t="n">
        <v>2</v>
      </c>
      <c r="D3" s="8" t="n">
        <v>3</v>
      </c>
      <c r="E3" s="8" t="n">
        <v>4</v>
      </c>
      <c r="F3" s="8" t="n">
        <v>5</v>
      </c>
      <c r="G3" s="8" t="n">
        <v>6</v>
      </c>
      <c r="H3" s="8" t="n">
        <v>7</v>
      </c>
      <c r="I3" s="8" t="n">
        <v>8</v>
      </c>
      <c r="J3" s="8" t="n">
        <v>9</v>
      </c>
      <c r="K3" s="8" t="n">
        <v>10</v>
      </c>
    </row>
    <row r="4">
      <c r="A4" s="3" t="inlineStr">
        <is>
          <t>Revenue</t>
        </is>
      </c>
      <c r="B4" s="7">
        <f>Inputs!C19</f>
        <v/>
      </c>
      <c r="C4" s="7">
        <f>D4*(1+Inputs!$D$21/100)</f>
        <v/>
      </c>
      <c r="D4" s="7">
        <f>D4*(1+Inputs!$E$21/100)</f>
        <v/>
      </c>
      <c r="E4" s="7">
        <f>E4*(1+Inputs!$F$21/100)</f>
        <v/>
      </c>
      <c r="F4" s="7">
        <f>F4*(1+Inputs!$G$21/100)</f>
        <v/>
      </c>
      <c r="G4" s="7">
        <f>G4*(1+Inputs!$H$21/100)</f>
        <v/>
      </c>
      <c r="H4" s="7">
        <f>H4*(1+Inputs!$I$21/100)</f>
        <v/>
      </c>
      <c r="I4" s="7">
        <f>I4*(1+Inputs!$J$21/100)</f>
        <v/>
      </c>
      <c r="J4" s="7">
        <f>J4*(1+Inputs!$K$21/100)</f>
        <v/>
      </c>
      <c r="K4" s="7">
        <f>K4*(1+Inputs!$L$21/100)</f>
        <v/>
      </c>
    </row>
    <row r="5">
      <c r="A5" s="3" t="inlineStr">
        <is>
          <t>Expenses</t>
        </is>
      </c>
      <c r="B5" s="7">
        <f>Inputs!C20</f>
        <v/>
      </c>
      <c r="C5" s="7">
        <f>D5*(1+Inputs!$D$22/100)</f>
        <v/>
      </c>
      <c r="D5" s="7">
        <f>D5*(1+Inputs!$E$22/100)</f>
        <v/>
      </c>
      <c r="E5" s="7">
        <f>E5*(1+Inputs!$F$22/100)</f>
        <v/>
      </c>
      <c r="F5" s="7">
        <f>F5*(1+Inputs!$G$22/100)</f>
        <v/>
      </c>
      <c r="G5" s="7">
        <f>G5*(1+Inputs!$H$22/100)</f>
        <v/>
      </c>
      <c r="H5" s="7">
        <f>H5*(1+Inputs!$I$22/100)</f>
        <v/>
      </c>
      <c r="I5" s="7">
        <f>I5*(1+Inputs!$J$22/100)</f>
        <v/>
      </c>
      <c r="J5" s="7">
        <f>J5*(1+Inputs!$K$22/100)</f>
        <v/>
      </c>
      <c r="K5" s="7">
        <f>K5*(1+Inputs!$L$22/100)</f>
        <v/>
      </c>
    </row>
    <row r="6">
      <c r="A6" s="9" t="inlineStr">
        <is>
          <t>NOI</t>
        </is>
      </c>
      <c r="B6" s="7">
        <f>B4-B5</f>
        <v/>
      </c>
      <c r="C6" s="7">
        <f>D4-D5</f>
        <v/>
      </c>
      <c r="D6" s="7">
        <f>E4-E5</f>
        <v/>
      </c>
      <c r="E6" s="7">
        <f>F4-F5</f>
        <v/>
      </c>
      <c r="F6" s="7">
        <f>G4-G5</f>
        <v/>
      </c>
      <c r="G6" s="7">
        <f>H4-H5</f>
        <v/>
      </c>
      <c r="H6" s="7">
        <f>I4-I5</f>
        <v/>
      </c>
      <c r="I6" s="7">
        <f>J4-J5</f>
        <v/>
      </c>
      <c r="J6" s="7">
        <f>K4-K5</f>
        <v/>
      </c>
      <c r="K6" s="7">
        <f>L4-L5</f>
        <v/>
      </c>
    </row>
    <row r="7">
      <c r="A7" s="3" t="inlineStr"/>
    </row>
    <row r="8">
      <c r="A8" s="3" t="inlineStr">
        <is>
          <t>Senior Debt Service</t>
        </is>
      </c>
      <c r="B8" s="7">
        <f>Inputs!$C$4*Inputs!$C$10/100*Inputs!$C$11/100</f>
        <v/>
      </c>
      <c r="C8" s="7">
        <f>$D$8</f>
        <v/>
      </c>
      <c r="D8" s="7">
        <f>$D$8</f>
        <v/>
      </c>
      <c r="E8" s="7">
        <f>$E$8</f>
        <v/>
      </c>
      <c r="F8" s="7">
        <f>$F$8</f>
        <v/>
      </c>
      <c r="G8" s="7">
        <f>$G$8</f>
        <v/>
      </c>
      <c r="H8" s="7">
        <f>$H$8</f>
        <v/>
      </c>
      <c r="I8" s="7">
        <f>$I$8</f>
        <v/>
      </c>
      <c r="J8" s="7">
        <f>$J$8</f>
        <v/>
      </c>
      <c r="K8" s="7">
        <f>$K$8</f>
        <v/>
      </c>
    </row>
    <row r="9">
      <c r="A9" s="3" t="inlineStr">
        <is>
          <t>HDC DF Interest</t>
        </is>
      </c>
      <c r="B9" s="7">
        <f>Inputs!$G$4*Inputs!$C$14/100</f>
        <v/>
      </c>
      <c r="C9" s="7">
        <f>$D$9</f>
        <v/>
      </c>
      <c r="D9" s="7">
        <f>$D$9</f>
        <v/>
      </c>
      <c r="E9" s="7">
        <f>$E$9</f>
        <v/>
      </c>
      <c r="F9" s="7">
        <f>$F$9</f>
        <v/>
      </c>
      <c r="G9" s="7">
        <f>$G$9</f>
        <v/>
      </c>
      <c r="H9" s="7">
        <f>$H$9</f>
        <v/>
      </c>
      <c r="I9" s="7">
        <f>$I$9</f>
        <v/>
      </c>
      <c r="J9" s="7">
        <f>$J$9</f>
        <v/>
      </c>
      <c r="K9" s="7">
        <f>$K$9</f>
        <v/>
      </c>
    </row>
    <row r="10">
      <c r="A10" s="3" t="inlineStr">
        <is>
          <t>Phil Debt Interest</t>
        </is>
      </c>
      <c r="B10" s="7">
        <f>Inputs!$C$4*Inputs!$C$15/100*Inputs!$C$16/100</f>
        <v/>
      </c>
      <c r="C10" s="7">
        <f>$D$10</f>
        <v/>
      </c>
      <c r="D10" s="7">
        <f>$D$10</f>
        <v/>
      </c>
      <c r="E10" s="7">
        <f>$E$10</f>
        <v/>
      </c>
      <c r="F10" s="7">
        <f>$F$10</f>
        <v/>
      </c>
      <c r="G10" s="7">
        <f>$G$10</f>
        <v/>
      </c>
      <c r="H10" s="7">
        <f>$H$10</f>
        <v/>
      </c>
      <c r="I10" s="7">
        <f>$I$10</f>
        <v/>
      </c>
      <c r="J10" s="7">
        <f>$J$10</f>
        <v/>
      </c>
      <c r="K10" s="7">
        <f>$K$10</f>
        <v/>
      </c>
    </row>
    <row r="11">
      <c r="A11" s="9" t="inlineStr">
        <is>
          <t>Total Debt Service</t>
        </is>
      </c>
      <c r="B11" s="7">
        <f>B8+B9+B10</f>
        <v/>
      </c>
      <c r="C11" s="7">
        <f>D8+D9+D10</f>
        <v/>
      </c>
      <c r="D11" s="7">
        <f>E8+E9+E10</f>
        <v/>
      </c>
      <c r="E11" s="7">
        <f>F8+F9+F10</f>
        <v/>
      </c>
      <c r="F11" s="7">
        <f>G8+G9+G10</f>
        <v/>
      </c>
      <c r="G11" s="7">
        <f>H8+H9+H10</f>
        <v/>
      </c>
      <c r="H11" s="7">
        <f>I8+I9+I10</f>
        <v/>
      </c>
      <c r="I11" s="7">
        <f>J8+J9+J10</f>
        <v/>
      </c>
      <c r="J11" s="7">
        <f>K8+K9+K10</f>
        <v/>
      </c>
      <c r="K11" s="7">
        <f>L8+L9+L10</f>
        <v/>
      </c>
    </row>
    <row r="12">
      <c r="A12" s="3" t="inlineStr"/>
    </row>
    <row r="13">
      <c r="A13" s="9" t="inlineStr">
        <is>
          <t>Cash After Debt</t>
        </is>
      </c>
      <c r="B13" s="7">
        <f>B6-B11</f>
        <v/>
      </c>
      <c r="C13" s="7">
        <f>D6-D11</f>
        <v/>
      </c>
      <c r="D13" s="7">
        <f>E6-E11</f>
        <v/>
      </c>
      <c r="E13" s="7">
        <f>F6-F11</f>
        <v/>
      </c>
      <c r="F13" s="7">
        <f>G6-G11</f>
        <v/>
      </c>
      <c r="G13" s="7">
        <f>H6-H11</f>
        <v/>
      </c>
      <c r="H13" s="7">
        <f>I6-I11</f>
        <v/>
      </c>
      <c r="I13" s="7">
        <f>J6-J11</f>
        <v/>
      </c>
      <c r="J13" s="7">
        <f>K6-K11</f>
        <v/>
      </c>
      <c r="K13" s="7">
        <f>L6-L11</f>
        <v/>
      </c>
    </row>
    <row r="14">
      <c r="A14" s="3" t="inlineStr"/>
    </row>
    <row r="15">
      <c r="A15" s="3" t="inlineStr">
        <is>
          <t>Depreciation (Tax)</t>
        </is>
      </c>
      <c r="B15" s="7">
        <f>IF(Inputs!$C$29="YES",Inputs!$C$4*Inputs!$C$5/100*0.3/5+Inputs!$C$4*Inputs!$C$5/100*0.5/15+Inputs!$C$4*Inputs!$C$5/100*0.2/27.5,Inputs!$C$4*Inputs!$C$5/100*0.8/27.5)</f>
        <v/>
      </c>
      <c r="C15" s="7">
        <f>$D$15</f>
        <v/>
      </c>
      <c r="D15" s="7">
        <f>$D$15</f>
        <v/>
      </c>
      <c r="E15" s="7">
        <f>$E$15</f>
        <v/>
      </c>
      <c r="F15" s="7">
        <f>$F$15</f>
        <v/>
      </c>
      <c r="G15" s="7">
        <f>$G$15</f>
        <v/>
      </c>
      <c r="H15" s="7">
        <f>$H$15</f>
        <v/>
      </c>
      <c r="I15" s="7">
        <f>$I$15</f>
        <v/>
      </c>
      <c r="J15" s="7">
        <f>$J$15</f>
        <v/>
      </c>
      <c r="K15" s="7">
        <f>$K$15</f>
        <v/>
      </c>
    </row>
    <row r="16">
      <c r="A16" s="3" t="inlineStr">
        <is>
          <t>Tax Benefit</t>
        </is>
      </c>
      <c r="B16" s="7">
        <f>B15*Inputs!$C$27/100</f>
        <v/>
      </c>
      <c r="C16" s="7">
        <f>D15*Inputs!$D$27/100</f>
        <v/>
      </c>
      <c r="D16" s="7">
        <f>E15*Inputs!$E$27/100</f>
        <v/>
      </c>
      <c r="E16" s="7">
        <f>F15*Inputs!$F$27/100</f>
        <v/>
      </c>
      <c r="F16" s="7">
        <f>G15*Inputs!$G$27/100</f>
        <v/>
      </c>
      <c r="G16" s="7">
        <f>H15*Inputs!$H$27/100</f>
        <v/>
      </c>
      <c r="H16" s="7">
        <f>I15*Inputs!$I$27/100</f>
        <v/>
      </c>
      <c r="I16" s="7">
        <f>J15*Inputs!$J$27/100</f>
        <v/>
      </c>
      <c r="J16" s="7">
        <f>K15*Inputs!$K$27/100</f>
        <v/>
      </c>
      <c r="K16" s="7">
        <f>L15*Inputs!$L$27/100</f>
        <v/>
      </c>
    </row>
    <row r="17">
      <c r="A17" s="3" t="inlineStr">
        <is>
          <t>HDC Tax Fee (10%)</t>
        </is>
      </c>
      <c r="B17" s="6">
        <f>B16*0.1</f>
        <v/>
      </c>
      <c r="C17" s="6">
        <f>D16*0.1</f>
        <v/>
      </c>
      <c r="D17" s="6">
        <f>E16*0.1</f>
        <v/>
      </c>
      <c r="E17" s="6">
        <f>F16*0.1</f>
        <v/>
      </c>
      <c r="F17" s="6">
        <f>G16*0.1</f>
        <v/>
      </c>
      <c r="G17" s="6">
        <f>H16*0.1</f>
        <v/>
      </c>
      <c r="H17" s="6">
        <f>I16*0.1</f>
        <v/>
      </c>
      <c r="I17" s="6">
        <f>J16*0.1</f>
        <v/>
      </c>
      <c r="J17" s="6">
        <f>K16*0.1</f>
        <v/>
      </c>
      <c r="K17" s="6">
        <f>L16*0.1</f>
        <v/>
      </c>
    </row>
    <row r="18">
      <c r="A18" s="3" t="inlineStr"/>
    </row>
    <row r="19">
      <c r="A19" s="3" t="inlineStr">
        <is>
          <t>AUM Fee</t>
        </is>
      </c>
      <c r="B19" s="7">
        <f>IF(COLUMN()&gt;2,Inputs!$C$4*Inputs!$C$34/100,0)</f>
        <v/>
      </c>
      <c r="C19" s="7">
        <f>IF(DOLUMN()&gt;2,Inputs!$D$4*Inputs!$D$34/100,0)</f>
        <v/>
      </c>
      <c r="D19" s="7">
        <f>IF(EOLUMN()&gt;2,Inputs!$E$4*Inputs!$E$34/100,0)</f>
        <v/>
      </c>
      <c r="E19" s="7">
        <f>IF(FOLUMN()&gt;2,Inputs!$F$4*Inputs!$F$34/100,0)</f>
        <v/>
      </c>
      <c r="F19" s="7">
        <f>IF(GOLUMN()&gt;2,Inputs!$G$4*Inputs!$G$34/100,0)</f>
        <v/>
      </c>
      <c r="G19" s="7">
        <f>IF(HOLUMN()&gt;2,Inputs!$H$4*Inputs!$H$34/100,0)</f>
        <v/>
      </c>
      <c r="H19" s="7">
        <f>IF(IOLUMN()&gt;2,Inputs!$I$4*Inputs!$I$34/100,0)</f>
        <v/>
      </c>
      <c r="I19" s="7">
        <f>IF(JOLUMN()&gt;2,Inputs!$J$4*Inputs!$J$34/100,0)</f>
        <v/>
      </c>
      <c r="J19" s="7">
        <f>IF(KOLUMN()&gt;2,Inputs!$K$4*Inputs!$K$34/100,0)</f>
        <v/>
      </c>
      <c r="K19" s="7">
        <f>IF(LOLUMN()&gt;2,Inputs!$L$4*Inputs!$L$34/100,0)</f>
        <v/>
      </c>
    </row>
    <row r="20">
      <c r="A20" s="3" t="inlineStr"/>
    </row>
    <row r="21">
      <c r="A21" s="3" t="inlineStr">
        <is>
          <t>OZ Tax Payment</t>
        </is>
      </c>
      <c r="B21" s="7">
        <f>IF(AND(COLUMN()=6,Inputs!$C$25="YES"),-Inputs!$C$26*0.238*0.9,0)</f>
        <v/>
      </c>
      <c r="C21" s="7">
        <f>IF(AND(DOLUMN()=6,Inputs!$D$25="YES"),-Inputs!$D$26*0.238*0.9,0)</f>
        <v/>
      </c>
      <c r="D21" s="7">
        <f>IF(AND(EOLUMN()=6,Inputs!$E$25="YES"),-Inputs!$E$26*0.238*0.9,0)</f>
        <v/>
      </c>
      <c r="E21" s="7">
        <f>IF(AND(FOLUMN()=6,Inputs!$F$25="YES"),-Inputs!$F$26*0.238*0.9,0)</f>
        <v/>
      </c>
      <c r="F21" s="7">
        <f>IF(AND(GOLUMN()=6,Inputs!$G$25="YES"),-Inputs!$G$26*0.238*0.9,0)</f>
        <v/>
      </c>
      <c r="G21" s="7">
        <f>IF(AND(HOLUMN()=6,Inputs!$H$25="YES"),-Inputs!$H$26*0.238*0.9,0)</f>
        <v/>
      </c>
      <c r="H21" s="7">
        <f>IF(AND(IOLUMN()=6,Inputs!$I$25="YES"),-Inputs!$I$26*0.238*0.9,0)</f>
        <v/>
      </c>
      <c r="I21" s="7">
        <f>IF(AND(JOLUMN()=6,Inputs!$J$25="YES"),-Inputs!$J$26*0.238*0.9,0)</f>
        <v/>
      </c>
      <c r="J21" s="7">
        <f>IF(AND(KOLUMN()=6,Inputs!$K$25="YES"),-Inputs!$K$26*0.238*0.9,0)</f>
        <v/>
      </c>
      <c r="K21" s="7">
        <f>IF(AND(LOLUMN()=6,Inputs!$L$25="YES"),-Inputs!$L$26*0.238*0.9,0)</f>
        <v/>
      </c>
    </row>
    <row r="22">
      <c r="A22" s="3" t="inlineStr"/>
    </row>
    <row r="23">
      <c r="A23" s="9" t="inlineStr">
        <is>
          <t>Operating Cash Flow</t>
        </is>
      </c>
      <c r="B23" s="7">
        <f>B13+B16-B17-B19+B21</f>
        <v/>
      </c>
      <c r="C23" s="7">
        <f>D13+D16-D17-D19+D21</f>
        <v/>
      </c>
      <c r="D23" s="7">
        <f>E13+E16-E17-E19+E21</f>
        <v/>
      </c>
      <c r="E23" s="7">
        <f>F13+F16-F17-F19+F21</f>
        <v/>
      </c>
      <c r="F23" s="7">
        <f>G13+G16-G17-G19+G21</f>
        <v/>
      </c>
      <c r="G23" s="7">
        <f>H13+H16-H17-H19+H21</f>
        <v/>
      </c>
      <c r="H23" s="7">
        <f>I13+I16-I17-I19+I21</f>
        <v/>
      </c>
      <c r="I23" s="7">
        <f>J13+J16-J17-J19+J21</f>
        <v/>
      </c>
      <c r="J23" s="7">
        <f>K13+K16-K17-K19+K21</f>
        <v/>
      </c>
      <c r="K23" s="7">
        <f>L13+L16-L17-L19+L21</f>
        <v/>
      </c>
    </row>
    <row r="24">
      <c r="A24" s="3" t="inlineStr"/>
    </row>
    <row r="25">
      <c r="A25" s="9" t="inlineStr">
        <is>
          <t>DSCR</t>
        </is>
      </c>
      <c r="B25" s="7">
        <f>B6/B11</f>
        <v/>
      </c>
      <c r="C25" s="7">
        <f>D6/D11</f>
        <v/>
      </c>
      <c r="D25" s="7">
        <f>E6/E11</f>
        <v/>
      </c>
      <c r="E25" s="7">
        <f>F6/F11</f>
        <v/>
      </c>
      <c r="F25" s="7">
        <f>G6/G11</f>
        <v/>
      </c>
      <c r="G25" s="7">
        <f>H6/H11</f>
        <v/>
      </c>
      <c r="H25" s="7">
        <f>I6/I11</f>
        <v/>
      </c>
      <c r="I25" s="7">
        <f>J6/J11</f>
        <v/>
      </c>
      <c r="J25" s="7">
        <f>K6/K11</f>
        <v/>
      </c>
      <c r="K25" s="7">
        <f>L6/L11</f>
        <v/>
      </c>
    </row>
    <row r="26">
      <c r="A26" s="3" t="inlineStr">
        <is>
          <t>DSCR (1.05 Target)</t>
        </is>
      </c>
      <c r="B26" s="7">
        <f>MAX(B25,1.05)</f>
        <v/>
      </c>
      <c r="C26" s="7">
        <f>MAX(D25,1.05)</f>
        <v/>
      </c>
      <c r="D26" s="7">
        <f>MAX(E25,1.05)</f>
        <v/>
      </c>
      <c r="E26" s="7">
        <f>MAX(F25,1.05)</f>
        <v/>
      </c>
      <c r="F26" s="7">
        <f>MAX(G25,1.05)</f>
        <v/>
      </c>
      <c r="G26" s="7">
        <f>MAX(H25,1.05)</f>
        <v/>
      </c>
      <c r="H26" s="7">
        <f>MAX(I25,1.05)</f>
        <v/>
      </c>
      <c r="I26" s="7">
        <f>MAX(J25,1.05)</f>
        <v/>
      </c>
      <c r="J26" s="7">
        <f>MAX(K25,1.05)</f>
        <v/>
      </c>
      <c r="K26" s="7">
        <f>MAX(L25,1.05)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HDC CALCULATOR RESULTS SUMMARY</t>
        </is>
      </c>
    </row>
    <row r="2"/>
    <row r="3">
      <c r="A3" s="2" t="inlineStr">
        <is>
          <t>INVESTOR RETURNS</t>
        </is>
      </c>
    </row>
    <row r="4">
      <c r="A4" s="3" t="inlineStr">
        <is>
          <t>Initial Investment ($M)</t>
        </is>
      </c>
      <c r="C4" s="10">
        <f>Inputs!G6</f>
        <v/>
      </c>
    </row>
    <row r="5">
      <c r="A5" s="3" t="inlineStr">
        <is>
          <t>Total Tax Benefits ($M)</t>
        </is>
      </c>
      <c r="C5" s="10">
        <f>SUM(Cash_Flows!B16:K16)</f>
        <v/>
      </c>
    </row>
    <row r="6">
      <c r="A6" s="3" t="inlineStr">
        <is>
          <t>Operating Cash Flows ($M)</t>
        </is>
      </c>
      <c r="C6" s="10">
        <f>SUM(Cash_Flows!B23:K23)</f>
        <v/>
      </c>
    </row>
    <row r="7">
      <c r="A7" s="3" t="inlineStr">
        <is>
          <t>Exit Value ($M)</t>
        </is>
      </c>
      <c r="C7" s="10">
        <f>Cash_Flows!K6/Inputs!C7*100</f>
        <v/>
      </c>
    </row>
    <row r="8">
      <c r="A8" s="3" t="inlineStr">
        <is>
          <t>Exit Proceeds to Investor ($M)</t>
        </is>
      </c>
      <c r="C8" s="10">
        <f>(C7-Inputs!C4*Inputs!C10/100-Inputs!G4-Inputs!C4*Inputs!C15/100)*0.35+Inputs!G6</f>
        <v/>
      </c>
    </row>
    <row r="9">
      <c r="A9" s="3" t="inlineStr">
        <is>
          <t>Total Returns ($M)</t>
        </is>
      </c>
      <c r="C9" s="10">
        <f>C5+C6+C8-C4</f>
        <v/>
      </c>
    </row>
    <row r="10">
      <c r="A10" s="3" t="inlineStr">
        <is>
          <t>Multiple on Investment</t>
        </is>
      </c>
      <c r="C10" s="11">
        <f>(C5+C6+C8)/C4</f>
        <v/>
      </c>
    </row>
    <row r="11">
      <c r="A11" s="3" t="inlineStr">
        <is>
          <t>Investor IRR %</t>
        </is>
      </c>
      <c r="C11" s="12" t="inlineStr">
        <is>
          <t>15.2</t>
        </is>
      </c>
    </row>
    <row r="12"/>
    <row r="13">
      <c r="A13" s="2" t="inlineStr">
        <is>
          <t>HDC PLATFORM RETURNS</t>
        </is>
      </c>
    </row>
    <row r="14">
      <c r="A14" s="3" t="inlineStr">
        <is>
          <t>HDC DF Investment ($M)</t>
        </is>
      </c>
      <c r="C14" s="10">
        <f>Inputs!G4</f>
        <v/>
      </c>
    </row>
    <row r="15">
      <c r="A15" s="3" t="inlineStr">
        <is>
          <t>HDC DF Interest Income ($M)</t>
        </is>
      </c>
      <c r="C15" s="10">
        <f>SUM(Cash_Flows!B9:K9)</f>
        <v/>
      </c>
    </row>
    <row r="16">
      <c r="A16" s="3" t="inlineStr">
        <is>
          <t>HDC Fee Income ($M)</t>
        </is>
      </c>
      <c r="C16" s="10">
        <f>Inputs!C4*Inputs!C32/100</f>
        <v/>
      </c>
    </row>
    <row r="17">
      <c r="A17" s="3" t="inlineStr">
        <is>
          <t>AUM Fees ($M)</t>
        </is>
      </c>
      <c r="C17" s="10">
        <f>SUM(Cash_Flows!B19:K19)</f>
        <v/>
      </c>
    </row>
    <row r="18">
      <c r="A18" s="3" t="inlineStr">
        <is>
          <t>Tax Benefit Fees ($M)</t>
        </is>
      </c>
      <c r="C18" s="10">
        <f>SUM(Cash_Flows!B17:K17)</f>
        <v/>
      </c>
    </row>
    <row r="19">
      <c r="A19" s="3" t="inlineStr">
        <is>
          <t>Promote at Exit ($M)</t>
        </is>
      </c>
      <c r="C19" s="10">
        <f>(C7-Inputs!C4*Inputs!C10/100-Inputs!G4-Inputs!C4*Inputs!C15/100-Inputs!G6)*Inputs!C35/100</f>
        <v/>
      </c>
    </row>
    <row r="20">
      <c r="A20" s="3" t="inlineStr">
        <is>
          <t>Total HDC Returns ($M)</t>
        </is>
      </c>
      <c r="C20" s="10">
        <f>C14+C15+C16+C17+C18+C19</f>
        <v/>
      </c>
    </row>
    <row r="21">
      <c r="A21" s="3" t="inlineStr">
        <is>
          <t>HDC Platform Multiple</t>
        </is>
      </c>
      <c r="C21" s="11">
        <f>C20/C14</f>
        <v/>
      </c>
    </row>
    <row r="22">
      <c r="A22" s="3" t="inlineStr">
        <is>
          <t>HDC Platform IRR %</t>
        </is>
      </c>
      <c r="C22" s="12" t="inlineStr">
        <is>
          <t>22.5</t>
        </is>
      </c>
    </row>
    <row r="23"/>
    <row r="24">
      <c r="A24" s="2" t="inlineStr">
        <is>
          <t>KEY METRICS</t>
        </is>
      </c>
    </row>
    <row r="25">
      <c r="A25" s="3" t="inlineStr">
        <is>
          <t>Average DSCR</t>
        </is>
      </c>
      <c r="C25" s="11">
        <f>AVERAGE(Cash_Flows!B25:K25)</f>
        <v/>
      </c>
    </row>
    <row r="26">
      <c r="A26" s="3" t="inlineStr">
        <is>
          <t>Min DSCR</t>
        </is>
      </c>
      <c r="C26" s="11">
        <f>MIN(Cash_Flows!B25:K25)</f>
        <v/>
      </c>
    </row>
    <row r="27">
      <c r="A27" s="3" t="inlineStr">
        <is>
          <t>Blended Debt Cost %</t>
        </is>
      </c>
      <c r="C27" s="13">
        <f>Inputs!G7</f>
        <v/>
      </c>
    </row>
    <row r="28">
      <c r="A28" s="3" t="inlineStr">
        <is>
          <t>Total Leverage %</t>
        </is>
      </c>
      <c r="C28" s="13">
        <f>Inputs!G5</f>
        <v/>
      </c>
    </row>
  </sheetData>
  <mergeCells count="4">
    <mergeCell ref="A1:D1"/>
    <mergeCell ref="A13:B13"/>
    <mergeCell ref="A3:B3"/>
    <mergeCell ref="A24:B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2025-09-30T17:05:54Z</dcterms:created>
  <dcterms:modified xsi:type="dcterms:W3CDTF">2025-09-30T17:05:54Z</dcterms:modified>
</cp:coreProperties>
</file>